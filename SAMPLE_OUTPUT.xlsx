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cbfb92f63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ca6432637f45fc"/>
    <x:sheet xmlns:r="http://schemas.openxmlformats.org/officeDocument/2006/relationships" name="All Movies" sheetId="2" r:id="R747d5caabd1b47c8"/>
    <x:sheet xmlns:r="http://schemas.openxmlformats.org/officeDocument/2006/relationships" name="Unwatched Movies" sheetId="3" r:id="Rdcf3540dc32b4c8f"/>
    <x:sheet xmlns:r="http://schemas.openxmlformats.org/officeDocument/2006/relationships" name="Watched Movies" sheetId="4" r:id="Rb253fc4baa6c4807"/>
    <x:sheet xmlns:r="http://schemas.openxmlformats.org/officeDocument/2006/relationships" name="Potential Duplicates" sheetId="5" r:id="Rd2f3e3f1a5d740f2"/>
    <x:sheet xmlns:r="http://schemas.openxmlformats.org/officeDocument/2006/relationships" name="Metadata Issues" sheetId="6" r:id="R63790b1cd4c7429a"/>
    <x:sheet xmlns:r="http://schemas.openxmlformats.org/officeDocument/2006/relationships" name="Recommendation Queue" sheetId="7" r:id="R24eeaa0fb7fa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43A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c118c1b204fde" /><Relationship Type="http://schemas.openxmlformats.org/officeDocument/2006/relationships/theme" Target="/xl/theme/theme1.xml" Id="R5478faa46ffa4426" /><Relationship Type="http://schemas.openxmlformats.org/officeDocument/2006/relationships/sharedStrings" Target="/xl/sharedStrings.xml" Id="R8834b0d7487e4c3c" /><Relationship Type="http://schemas.openxmlformats.org/officeDocument/2006/relationships/worksheet" Target="/xl/worksheets/sheet1.xml" Id="R84ca6432637f45fc" /><Relationship Type="http://schemas.openxmlformats.org/officeDocument/2006/relationships/worksheet" Target="/xl/worksheets/sheet2.xml" Id="R747d5caabd1b47c8" /><Relationship Type="http://schemas.openxmlformats.org/officeDocument/2006/relationships/worksheet" Target="/xl/worksheets/sheet3.xml" Id="Rdcf3540dc32b4c8f" /><Relationship Type="http://schemas.openxmlformats.org/officeDocument/2006/relationships/worksheet" Target="/xl/worksheets/sheet4.xml" Id="Rb253fc4baa6c4807" /><Relationship Type="http://schemas.openxmlformats.org/officeDocument/2006/relationships/worksheet" Target="/xl/worksheets/sheet5.xml" Id="Rd2f3e3f1a5d740f2" /><Relationship Type="http://schemas.openxmlformats.org/officeDocument/2006/relationships/worksheet" Target="/xl/worksheets/sheet6.xml" Id="R63790b1cd4c7429a" /><Relationship Type="http://schemas.openxmlformats.org/officeDocument/2006/relationships/worksheet" Target="/xl/worksheets/sheet7.xml" Id="R24eeaa0fb7fa4e2c" /></Relationships>
</file>

<file path=xl/tables/table1.xml><?xml version="1.0" encoding="utf-8"?>
<x:table xmlns:x="http://schemas.openxmlformats.org/spreadsheetml/2006/main" id="1" name="AllMoviesTable" displayName="AllMoviesTable" ref="A4:AB12" headerRowCount="1" totalsRowCount="0" totalsRowShown="0">
  <x:tableColumns count="28">
    <x:tableColumn id="1" name="Title"/>
    <x:tableColumn id="2" name="Year"/>
    <x:tableColumn id="3" name="Library"/>
    <x:tableColumn id="4" name="Watched Status"/>
    <x:tableColumn id="5" name="Play Count"/>
    <x:tableColumn id="6" name="Last Played"/>
    <x:tableColumn id="7" name="Runtime (Minutes)"/>
    <x:tableColumn id="8" name="Genres"/>
    <x:tableColumn id="9" name="Directors"/>
    <x:tableColumn id="10" name="Writers"/>
    <x:tableColumn id="11" name="Studios"/>
    <x:tableColumn id="12" name="Content Rating"/>
    <x:tableColumn id="13" name="Jellyfin Rating"/>
    <x:tableColumn id="14" name="Critic Rating"/>
    <x:tableColumn id="15" name="Resolution"/>
    <x:tableColumn id="16" name="HDR"/>
    <x:tableColumn id="17" name="Video Codec"/>
    <x:tableColumn id="18" name="Audio"/>
    <x:tableColumn id="19" name="Subtitle Languages"/>
    <x:tableColumn id="20" name="File Size (GB)"/>
    <x:tableColumn id="21" name="Date Added"/>
    <x:tableColumn id="22" name="Premiere Date"/>
    <x:tableColumn id="23" name="Favorite"/>
    <x:tableColumn id="24" name="IMDb ID"/>
    <x:tableColumn id="25" name="TMDb ID"/>
    <x:tableColumn id="26" name="File Path"/>
    <x:tableColumn id="27" name="Jellyfin ID"/>
    <x:tableColumn id="28" name="Over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watchedMoviesTable" displayName="UnwatchedMoviesTable" ref="A4:AB9" headerRowCount="1" totalsRowCount="0" totalsRowShown="0">
  <x:tableColumns count="28">
    <x:tableColumn id="1" name="Title"/>
    <x:tableColumn id="2" name="Year"/>
    <x:tableColumn id="3" name="Library"/>
    <x:tableColumn id="4" name="Watched Status"/>
    <x:tableColumn id="5" name="Play Count"/>
    <x:tableColumn id="6" name="Last Played"/>
    <x:tableColumn id="7" name="Runtime (Minutes)"/>
    <x:tableColumn id="8" name="Genres"/>
    <x:tableColumn id="9" name="Directors"/>
    <x:tableColumn id="10" name="Writers"/>
    <x:tableColumn id="11" name="Studios"/>
    <x:tableColumn id="12" name="Content Rating"/>
    <x:tableColumn id="13" name="Jellyfin Rating"/>
    <x:tableColumn id="14" name="Critic Rating"/>
    <x:tableColumn id="15" name="Resolution"/>
    <x:tableColumn id="16" name="HDR"/>
    <x:tableColumn id="17" name="Video Codec"/>
    <x:tableColumn id="18" name="Audio"/>
    <x:tableColumn id="19" name="Subtitle Languages"/>
    <x:tableColumn id="20" name="File Size (GB)"/>
    <x:tableColumn id="21" name="Date Added"/>
    <x:tableColumn id="22" name="Premiere Date"/>
    <x:tableColumn id="23" name="Favorite"/>
    <x:tableColumn id="24" name="IMDb ID"/>
    <x:tableColumn id="25" name="TMDb ID"/>
    <x:tableColumn id="26" name="File Path"/>
    <x:tableColumn id="27" name="Jellyfin ID"/>
    <x:tableColumn id="28" name="Over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tchedMoviesTable" displayName="WatchedMoviesTable" ref="A4:AB7" headerRowCount="1" totalsRowCount="0" totalsRowShown="0">
  <x:tableColumns count="28">
    <x:tableColumn id="1" name="Title"/>
    <x:tableColumn id="2" name="Year"/>
    <x:tableColumn id="3" name="Library"/>
    <x:tableColumn id="4" name="Watched Status"/>
    <x:tableColumn id="5" name="Play Count"/>
    <x:tableColumn id="6" name="Last Played"/>
    <x:tableColumn id="7" name="Runtime (Minutes)"/>
    <x:tableColumn id="8" name="Genres"/>
    <x:tableColumn id="9" name="Directors"/>
    <x:tableColumn id="10" name="Writers"/>
    <x:tableColumn id="11" name="Studios"/>
    <x:tableColumn id="12" name="Content Rating"/>
    <x:tableColumn id="13" name="Jellyfin Rating"/>
    <x:tableColumn id="14" name="Critic Rating"/>
    <x:tableColumn id="15" name="Resolution"/>
    <x:tableColumn id="16" name="HDR"/>
    <x:tableColumn id="17" name="Video Codec"/>
    <x:tableColumn id="18" name="Audio"/>
    <x:tableColumn id="19" name="Subtitle Languages"/>
    <x:tableColumn id="20" name="File Size (GB)"/>
    <x:tableColumn id="21" name="Date Added"/>
    <x:tableColumn id="22" name="Premiere Date"/>
    <x:tableColumn id="23" name="Favorite"/>
    <x:tableColumn id="24" name="IMDb ID"/>
    <x:tableColumn id="25" name="TMDb ID"/>
    <x:tableColumn id="26" name="File Path"/>
    <x:tableColumn id="27" name="Jellyfin ID"/>
    <x:tableColumn id="28" name="Overvie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adataIssuesTable" displayName="MetadataIssuesTable" ref="A4:F5" headerRowCount="1" totalsRowCount="0" totalsRowShown="0">
  <x:tableColumns count="6">
    <x:tableColumn id="1" name="Title"/>
    <x:tableColumn id="2" name="Year"/>
    <x:tableColumn id="3" name="Issues"/>
    <x:tableColumn id="4" name="Library"/>
    <x:tableColumn id="5" name="File Path"/>
    <x:tableColumn id="6" name="Jellyfin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mmendationQueueTable" displayName="RecommendationQueueTable" ref="A4:M9" headerRowCount="1" totalsRowCount="0" totalsRowShown="0">
  <x:tableColumns count="13">
    <x:tableColumn id="1" name="Queue Rank"/>
    <x:tableColumn id="2" name="Priority"/>
    <x:tableColumn id="3" name="Recommendation Score"/>
    <x:tableColumn id="4" name="Title"/>
    <x:tableColumn id="5" name="Year"/>
    <x:tableColumn id="6" name="Runtime (Minutes)"/>
    <x:tableColumn id="7" name="Genres"/>
    <x:tableColumn id="8" name="Jellyfin Rating"/>
    <x:tableColumn id="9" name="Date Added"/>
    <x:tableColumn id="10" name="Why It Fits"/>
    <x:tableColumn id="11" name="Likely Caveat"/>
    <x:tableColumn id="12" name="Watched Status"/>
    <x:tableColumn id="13" name="Jellyfi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a6791293fe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9a23b4b3c64d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59e807d38c42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f667c0e0e9141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b5882ee4c1e4b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5" max="5" width="24" hidden="0" customWidth="1"/>
    <x:col min="6" max="6" width="16" hidden="0" customWidth="1"/>
  </x:cols>
  <x:sheetData>
    <x:row r="1" ht="30" customHeight="1">
      <x:c r="A1" s="3" t="str">
        <x:v>Jellyfin Movie Inventory</x:v>
      </x:c>
    </x:row>
    <x:row r="2" ht="22" customHeight="1">
      <x:c r="A2" s="5" t="str">
        <x:v>Sample output — the real application replaces these rows with your Jellyfin inventory.</x:v>
      </x:c>
    </x:row>
    <x:row r="4">
      <x:c r="A4" s="10" t="str">
        <x:v>Inventory Snapshot</x:v>
      </x:c>
      <x:c r="B4" s="10" t="str">
        <x:v>Value</x:v>
      </x:c>
      <x:c r="E4" s="10" t="str">
        <x:v>Library Summary</x:v>
      </x:c>
      <x:c r="F4" s="10" t="str">
        <x:v>Movies</x:v>
      </x:c>
    </x:row>
    <x:row r="5">
      <x:c r="A5" t="str">
        <x:v>Total movies</x:v>
      </x:c>
      <x:c r="B5" s="6" t="n">
        <x:f>COUNTA('All Movies'!A5:A12)</x:f>
        <x:v>8</x:v>
      </x:c>
      <x:c r="E5" t="str">
        <x:v>Movies</x:v>
      </x:c>
      <x:c r="F5" t="n">
        <x:v>8</x:v>
      </x:c>
    </x:row>
    <x:row r="6">
      <x:c r="A6" t="str">
        <x:v>Watched movies</x:v>
      </x:c>
      <x:c r="B6" s="6" t="n">
        <x:f>COUNTIF('All Movies'!D5:D12,"Watched")</x:f>
        <x:v>3</x:v>
      </x:c>
      <x:c r="E6" t="str">
        <x:v>Total</x:v>
      </x:c>
      <x:c r="F6" t="n">
        <x:v>8</x:v>
      </x:c>
    </x:row>
    <x:row r="7">
      <x:c r="A7" t="str">
        <x:v>Unwatched movies</x:v>
      </x:c>
      <x:c r="B7" s="6" t="n">
        <x:f>COUNTIF('All Movies'!D5:D12,"Unwatched")</x:f>
        <x:v>5</x:v>
      </x:c>
    </x:row>
    <x:row r="8">
      <x:c r="A8" t="str">
        <x:v>Percent watched</x:v>
      </x:c>
      <x:c r="B8" s="7" t="n">
        <x:f>IF(B5=0,0,B6/B5)</x:f>
        <x:v>0.375</x:v>
      </x:c>
    </x:row>
    <x:row r="9">
      <x:c r="A9" t="str">
        <x:v>Total runtime (hours)</x:v>
      </x:c>
      <x:c r="B9" s="8" t="n">
        <x:f>SUM('All Movies'!G5:G12)/60</x:f>
        <x:v>11.283333333333333</x:v>
      </x:c>
    </x:row>
    <x:row r="10">
      <x:c r="A10" t="str">
        <x:v>Unwatched runtime (hours)</x:v>
      </x:c>
      <x:c r="B10" s="8" t="n">
        <x:f>SUMIF('All Movies'!D5:D12,"Unwatched",'All Movies'!G5:G12)/60</x:f>
        <x:v>6.45</x:v>
      </x:c>
    </x:row>
    <x:row r="11">
      <x:c r="A11" t="str">
        <x:v>Metadata issue rows</x:v>
      </x:c>
      <x:c r="B11" s="6" t="n">
        <x:f>COUNTIF('Metadata Issues'!A5:A5,"?*")</x:f>
        <x:v>0</x:v>
      </x:c>
    </x:row>
    <x:row r="12">
      <x:c r="A12" t="str">
        <x:v>Potential duplicate entries</x:v>
      </x:c>
      <x:c r="B12" s="6" t="n">
        <x:f>COUNTIF('Potential Duplicates'!A5:A5,"?*")</x:f>
        <x:v>0</x:v>
      </x:c>
    </x:row>
    <x:row r="15">
      <x:c r="A15" s="10" t="str">
        <x:v>Movies by Decade</x:v>
      </x:c>
      <x:c r="B15" s="10" t="str">
        <x:v>Movies</x:v>
      </x:c>
      <x:c r="E15" s="10" t="str">
        <x:v>Top Genres</x:v>
      </x:c>
      <x:c r="F15" s="10" t="str">
        <x:v>Movies</x:v>
      </x:c>
    </x:row>
    <x:row r="16">
      <x:c r="A16" t="str">
        <x:v>1980s</x:v>
      </x:c>
      <x:c r="B16" t="n">
        <x:v>1</x:v>
      </x:c>
      <x:c r="E16" t="str">
        <x:v>Science Fiction</x:v>
      </x:c>
      <x:c r="F16" t="n">
        <x:v>6</x:v>
      </x:c>
    </x:row>
    <x:row r="17">
      <x:c r="A17" t="str">
        <x:v>1990s</x:v>
      </x:c>
      <x:c r="B17" t="n">
        <x:v>2</x:v>
      </x:c>
      <x:c r="E17" t="str">
        <x:v>Thriller</x:v>
      </x:c>
      <x:c r="F17" t="n">
        <x:v>5</x:v>
      </x:c>
    </x:row>
    <x:row r="18">
      <x:c r="A18" t="str">
        <x:v>2010s</x:v>
      </x:c>
      <x:c r="B18" t="n">
        <x:v>5</x:v>
      </x:c>
      <x:c r="E18" t="str">
        <x:v>Horror</x:v>
      </x:c>
      <x:c r="F18" t="n">
        <x:v>2</x:v>
      </x:c>
    </x:row>
    <x:row r="19">
      <x:c r="A19" t="str">
        <x:v>Unknown</x:v>
      </x:c>
      <x:c r="B19" t="n">
        <x:v>1</x:v>
      </x:c>
      <x:c r="E19" t="str">
        <x:v>Drama</x:v>
      </x:c>
      <x:c r="F19" t="n">
        <x:v>1</x:v>
      </x:c>
    </x:row>
    <x:row r="20">
      <x:c r="A20" t="str">
        <x:v>Total</x:v>
      </x:c>
      <x:c r="B20" t="n">
        <x:v>8</x:v>
      </x:c>
      <x:c r="E20" t="str">
        <x:v>Unknown</x:v>
      </x:c>
      <x:c r="F20" t="n">
        <x:v>1</x:v>
      </x:c>
    </x:row>
    <x:row r="21">
      <x:c r="E21" t="str">
        <x:v>Total</x:v>
      </x:c>
      <x:c r="F21" t="n">
        <x:v>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18" hidden="0" customWidth="1"/>
    <x:col min="4" max="4" width="15" hidden="0" customWidth="1"/>
    <x:col min="5" max="5" width="11" hidden="0" customWidth="1"/>
    <x:col min="6" max="6" width="14" hidden="0" customWidth="1"/>
    <x:col min="7" max="7" width="17" hidden="0" customWidth="1"/>
    <x:col min="8" max="8" width="28" hidden="0" customWidth="1"/>
    <x:col min="9" max="9" width="24" hidden="0" customWidth="1"/>
    <x:col min="10" max="10" width="24" hidden="0" customWidth="1"/>
    <x:col min="11" max="11" width="22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0" hidden="0" customWidth="1"/>
    <x:col min="17" max="17" width="13" hidden="0" customWidth="1"/>
    <x:col min="18" max="18" width="19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0" hidden="0" customWidth="1"/>
    <x:col min="24" max="24" width="15" hidden="0" customWidth="1"/>
    <x:col min="25" max="25" width="15" hidden="0" customWidth="1"/>
    <x:col min="26" max="26" width="48" hidden="0" customWidth="1"/>
    <x:col min="27" max="27" width="28" hidden="0" customWidth="1"/>
    <x:col min="28" max="28" width="62" hidden="0" customWidth="1"/>
  </x:cols>
  <x:sheetData>
    <x:row r="1" ht="30" customHeight="1">
      <x:c r="A1" s="3" t="str">
        <x:v>All Movies</x:v>
      </x:c>
    </x:row>
    <x:row r="2" ht="22" customHeight="1">
      <x:c r="A2" s="5" t="str">
        <x:v>8 sample movies exported for User</x:v>
      </x:c>
    </x:row>
    <x:row r="4" ht="28" customHeight="1">
      <x:c r="A4" s="12" t="str">
        <x:v>Title</x:v>
      </x:c>
      <x:c r="B4" s="12" t="str">
        <x:v>Year</x:v>
      </x:c>
      <x:c r="C4" s="12" t="str">
        <x:v>Library</x:v>
      </x:c>
      <x:c r="D4" s="12" t="str">
        <x:v>Watched Status</x:v>
      </x:c>
      <x:c r="E4" s="12" t="str">
        <x:v>Play Count</x:v>
      </x:c>
      <x:c r="F4" s="12" t="str">
        <x:v>Last Played</x:v>
      </x:c>
      <x:c r="G4" s="12" t="str">
        <x:v>Runtime (Minutes)</x:v>
      </x:c>
      <x:c r="H4" s="12" t="str">
        <x:v>Genres</x:v>
      </x:c>
      <x:c r="I4" s="12" t="str">
        <x:v>Directors</x:v>
      </x:c>
      <x:c r="J4" s="12" t="str">
        <x:v>Writers</x:v>
      </x:c>
      <x:c r="K4" s="12" t="str">
        <x:v>Studios</x:v>
      </x:c>
      <x:c r="L4" s="12" t="str">
        <x:v>Content Rating</x:v>
      </x:c>
      <x:c r="M4" s="12" t="str">
        <x:v>Jellyfin Rating</x:v>
      </x:c>
      <x:c r="N4" s="12" t="str">
        <x:v>Critic Rating</x:v>
      </x:c>
      <x:c r="O4" s="12" t="str">
        <x:v>Resolution</x:v>
      </x:c>
      <x:c r="P4" s="12" t="str">
        <x:v>HDR</x:v>
      </x:c>
      <x:c r="Q4" s="12" t="str">
        <x:v>Video Codec</x:v>
      </x:c>
      <x:c r="R4" s="12" t="str">
        <x:v>Audio</x:v>
      </x:c>
      <x:c r="S4" s="12" t="str">
        <x:v>Subtitle Languages</x:v>
      </x:c>
      <x:c r="T4" s="12" t="str">
        <x:v>File Size (GB)</x:v>
      </x:c>
      <x:c r="U4" s="12" t="str">
        <x:v>Date Added</x:v>
      </x:c>
      <x:c r="V4" s="12" t="str">
        <x:v>Premiere Date</x:v>
      </x:c>
      <x:c r="W4" s="12" t="str">
        <x:v>Favorite</x:v>
      </x:c>
      <x:c r="X4" s="12" t="str">
        <x:v>IMDb ID</x:v>
      </x:c>
      <x:c r="Y4" s="12" t="str">
        <x:v>TMDb ID</x:v>
      </x:c>
      <x:c r="Z4" s="12" t="str">
        <x:v>File Path</x:v>
      </x:c>
      <x:c r="AA4" s="12" t="str">
        <x:v>Jellyfin ID</x:v>
      </x:c>
      <x:c r="AB4" s="12" t="str">
        <x:v>Overview</x:v>
      </x:c>
    </x:row>
    <x:row r="5">
      <x:c r="A5" s="13" t="str">
        <x:v>Brain Dead</x:v>
      </x:c>
      <x:c r="B5" s="13" t="n">
        <x:v>1990</x:v>
      </x:c>
      <x:c r="C5" s="13" t="str">
        <x:v>Movies</x:v>
      </x:c>
      <x:c r="D5" s="13" t="str">
        <x:v>Watched</x:v>
      </x:c>
      <x:c r="E5" s="13" t="n">
        <x:v>1</x:v>
      </x:c>
      <x:c r="F5" s="14" t="n">
        <x:v>46241</x:v>
      </x:c>
      <x:c r="G5" s="13" t="n">
        <x:v>85</x:v>
      </x:c>
      <x:c r="H5" s="13" t="str">
        <x:v>Horror; Science Fiction</x:v>
      </x:c>
      <x:c r="I5" s="13" t="str">
        <x:v>Adam Simon</x:v>
      </x:c>
      <x:c r="J5" s="13" t="str">
        <x:v>Charles Beaumont</x:v>
      </x:c>
      <x:c r="K5" s="13" t="str">
        <x:v>Concorde Pictures</x:v>
      </x:c>
      <x:c r="L5" s="13" t="str">
        <x:v>R</x:v>
      </x:c>
      <x:c r="M5" s="13" t="n">
        <x:v>6</x:v>
      </x:c>
      <x:c r="N5" s="13" t="n">
        <x:v>55</x:v>
      </x:c>
      <x:c r="O5" s="13" t="str">
        <x:v>1920x1080</x:v>
      </x:c>
      <x:c r="P5" s="13" t="str">
        <x:v>No</x:v>
      </x:c>
      <x:c r="Q5" s="13" t="str">
        <x:v>H264</x:v>
      </x:c>
      <x:c r="R5" s="13" t="str">
        <x:v>ENG / AAC / 2 ch</x:v>
      </x:c>
      <x:c r="S5" s="13" t="str">
        <x:v>ENG</x:v>
      </x:c>
      <x:c r="T5" s="13" t="n">
        <x:v>7.2</x:v>
      </x:c>
      <x:c r="U5" s="14" t="n">
        <x:v>46223</x:v>
      </x:c>
      <x:c r="V5" s="14" t="n">
        <x:v>32892</x:v>
      </x:c>
      <x:c r="W5" s="13" t="str">
        <x:v>No</x:v>
      </x:c>
      <x:c r="X5" s="13" t="str">
        <x:v>tt0099173</x:v>
      </x:c>
      <x:c r="Y5" s="13" t="str"/>
      <x:c r="Z5" s="13" t="str">
        <x:v>D:\Movies\Brain Dead (1990).mkv</x:v>
      </x:c>
      <x:c r="AA5" s="13" t="str">
        <x:v>sample-001</x:v>
      </x:c>
      <x:c r="AB5" s="15" t="str">
        <x:v>A scientist becomes trapped inside an experiment involving memory and reality.</x:v>
      </x:c>
    </x:row>
    <x:row r="6">
      <x:c r="A6" s="13" t="str">
        <x:v>TimeScape</x:v>
      </x:c>
      <x:c r="B6" s="13" t="n">
        <x:v>1992</x:v>
      </x:c>
      <x:c r="C6" s="13" t="str">
        <x:v>Movies</x:v>
      </x:c>
      <x:c r="D6" s="13" t="str">
        <x:v>Unwatched</x:v>
      </x:c>
      <x:c r="E6" s="13" t="n">
        <x:v>0</x:v>
      </x:c>
      <x:c r="F6" s="14"/>
      <x:c r="G6" s="13" t="n">
        <x:v>99</x:v>
      </x:c>
      <x:c r="H6" s="13" t="str">
        <x:v>Science Fiction; Thriller</x:v>
      </x:c>
      <x:c r="I6" s="13" t="str">
        <x:v>David Twohy</x:v>
      </x:c>
      <x:c r="J6" s="13" t="str">
        <x:v>David Twohy</x:v>
      </x:c>
      <x:c r="K6" s="13" t="str">
        <x:v>Paramount</x:v>
      </x:c>
      <x:c r="L6" s="13" t="str">
        <x:v>PG-13</x:v>
      </x:c>
      <x:c r="M6" s="13" t="n">
        <x:v>6.3</x:v>
      </x:c>
      <x:c r="N6" s="13" t="n">
        <x:v>61</x:v>
      </x:c>
      <x:c r="O6" s="13" t="str">
        <x:v>1920x1080</x:v>
      </x:c>
      <x:c r="P6" s="13" t="str">
        <x:v>No</x:v>
      </x:c>
      <x:c r="Q6" s="13" t="str">
        <x:v>H264</x:v>
      </x:c>
      <x:c r="R6" s="13" t="str">
        <x:v>ENG / AC3 / 6 ch</x:v>
      </x:c>
      <x:c r="S6" s="13" t="str">
        <x:v>ENG</x:v>
      </x:c>
      <x:c r="T6" s="13" t="n">
        <x:v>9.1</x:v>
      </x:c>
      <x:c r="U6" s="14" t="n">
        <x:v>46235</x:v>
      </x:c>
      <x:c r="V6" s="14" t="n">
        <x:v>33864</x:v>
      </x:c>
      <x:c r="W6" s="13" t="str">
        <x:v>No</x:v>
      </x:c>
      <x:c r="X6" s="13" t="str">
        <x:v>tt0104362</x:v>
      </x:c>
      <x:c r="Y6" s="13" t="str"/>
      <x:c r="Z6" s="13" t="str">
        <x:v>D:\Movies\TimeScape (1992).mkv</x:v>
      </x:c>
      <x:c r="AA6" s="13" t="str">
        <x:v>sample-002</x:v>
      </x:c>
      <x:c r="AB6" s="15" t="str">
        <x:v>A widowed innkeeper discovers that his guests are tourists from the future.</x:v>
      </x:c>
    </x:row>
    <x:row r="7">
      <x:c r="A7" s="13" t="str">
        <x:v>The Endless</x:v>
      </x:c>
      <x:c r="B7" s="13" t="n">
        <x:v>2017</x:v>
      </x:c>
      <x:c r="C7" s="13" t="str">
        <x:v>Movies</x:v>
      </x:c>
      <x:c r="D7" s="13" t="str">
        <x:v>Watched</x:v>
      </x:c>
      <x:c r="E7" s="13" t="n">
        <x:v>2</x:v>
      </x:c>
      <x:c r="F7" s="14" t="n">
        <x:v>46160</x:v>
      </x:c>
      <x:c r="G7" s="13" t="n">
        <x:v>112</x:v>
      </x:c>
      <x:c r="H7" s="13" t="str">
        <x:v>Horror; Science Fiction</x:v>
      </x:c>
      <x:c r="I7" s="13" t="str">
        <x:v>Justin Benson; Aaron Moorhead</x:v>
      </x:c>
      <x:c r="J7" s="13" t="str">
        <x:v>Justin Benson</x:v>
      </x:c>
      <x:c r="K7" s="13" t="str">
        <x:v>Snowfort Pictures</x:v>
      </x:c>
      <x:c r="L7" s="13" t="str">
        <x:v>Not Rated</x:v>
      </x:c>
      <x:c r="M7" s="13" t="n">
        <x:v>6.5</x:v>
      </x:c>
      <x:c r="N7" s="13" t="n">
        <x:v>78</x:v>
      </x:c>
      <x:c r="O7" s="13" t="str">
        <x:v>3840x2160</x:v>
      </x:c>
      <x:c r="P7" s="13" t="str">
        <x:v>HDR10</x:v>
      </x:c>
      <x:c r="Q7" s="13" t="str">
        <x:v>HEVC</x:v>
      </x:c>
      <x:c r="R7" s="13" t="str">
        <x:v>ENG / DTS / 6 ch</x:v>
      </x:c>
      <x:c r="S7" s="13" t="str">
        <x:v>ENG; SPA</x:v>
      </x:c>
      <x:c r="T7" s="13" t="n">
        <x:v>21.4</x:v>
      </x:c>
      <x:c r="U7" s="14" t="n">
        <x:v>45964</x:v>
      </x:c>
      <x:c r="V7" s="14" t="n">
        <x:v>42846</x:v>
      </x:c>
      <x:c r="W7" s="13" t="str">
        <x:v>Yes</x:v>
      </x:c>
      <x:c r="X7" s="13" t="str">
        <x:v>tt3986820</x:v>
      </x:c>
      <x:c r="Y7" s="13" t="str"/>
      <x:c r="Z7" s="13" t="str">
        <x:v>D:\Movies\The Endless (2017).mkv</x:v>
      </x:c>
      <x:c r="AA7" s="13" t="str">
        <x:v>sample-003</x:v>
      </x:c>
      <x:c r="AB7" s="15" t="str">
        <x:v>Two brothers revisit the group they escaped and find reality behaving badly.</x:v>
      </x:c>
    </x:row>
    <x:row r="8">
      <x:c r="A8" s="13" t="str">
        <x:v>Looker</x:v>
      </x:c>
      <x:c r="B8" s="13" t="n">
        <x:v>1981</x:v>
      </x:c>
      <x:c r="C8" s="13" t="str">
        <x:v>Movies</x:v>
      </x:c>
      <x:c r="D8" s="13" t="str">
        <x:v>Unwatched</x:v>
      </x:c>
      <x:c r="E8" s="13" t="n">
        <x:v>0</x:v>
      </x:c>
      <x:c r="F8" s="14"/>
      <x:c r="G8" s="13" t="n">
        <x:v>94</x:v>
      </x:c>
      <x:c r="H8" s="13" t="str">
        <x:v>Science Fiction; Thriller</x:v>
      </x:c>
      <x:c r="I8" s="13" t="str">
        <x:v>Michael Crichton</x:v>
      </x:c>
      <x:c r="J8" s="13" t="str">
        <x:v>Michael Crichton</x:v>
      </x:c>
      <x:c r="K8" s="13" t="str">
        <x:v>Warner Bros.</x:v>
      </x:c>
      <x:c r="L8" s="13" t="str">
        <x:v>PG</x:v>
      </x:c>
      <x:c r="M8" s="13" t="n">
        <x:v>6.1</x:v>
      </x:c>
      <x:c r="N8" s="13" t="n">
        <x:v>50</x:v>
      </x:c>
      <x:c r="O8" s="13" t="str">
        <x:v>1920x1080</x:v>
      </x:c>
      <x:c r="P8" s="13" t="str">
        <x:v>No</x:v>
      </x:c>
      <x:c r="Q8" s="13" t="str">
        <x:v>H264</x:v>
      </x:c>
      <x:c r="R8" s="13" t="str">
        <x:v>ENG / AAC / 2 ch</x:v>
      </x:c>
      <x:c r="S8" s="13" t="str">
        <x:v>ENG</x:v>
      </x:c>
      <x:c r="T8" s="13" t="n">
        <x:v>8.5</x:v>
      </x:c>
      <x:c r="U8" s="14" t="n">
        <x:v>46184</x:v>
      </x:c>
      <x:c r="V8" s="14" t="n">
        <x:v>29889</x:v>
      </x:c>
      <x:c r="W8" s="13" t="str">
        <x:v>No</x:v>
      </x:c>
      <x:c r="X8" s="13" t="str">
        <x:v>tt0082677</x:v>
      </x:c>
      <x:c r="Y8" s="13" t="str"/>
      <x:c r="Z8" s="13" t="str">
        <x:v>D:\Movies\Looker (1981).mkv</x:v>
      </x:c>
      <x:c r="AA8" s="13" t="str">
        <x:v>sample-004</x:v>
      </x:c>
      <x:c r="AB8" s="15" t="str">
        <x:v>A surgeon investigates a series of deaths among models.</x:v>
      </x:c>
    </x:row>
    <x:row r="9">
      <x:c r="A9" s="13" t="str">
        <x:v>Radius</x:v>
      </x:c>
      <x:c r="B9" s="13" t="n">
        <x:v>2017</x:v>
      </x:c>
      <x:c r="C9" s="13" t="str">
        <x:v>Movies</x:v>
      </x:c>
      <x:c r="D9" s="13" t="str">
        <x:v>Watched</x:v>
      </x:c>
      <x:c r="E9" s="13" t="n">
        <x:v>1</x:v>
      </x:c>
      <x:c r="F9" s="14" t="n">
        <x:v>46115</x:v>
      </x:c>
      <x:c r="G9" s="13" t="n">
        <x:v>93</x:v>
      </x:c>
      <x:c r="H9" s="13" t="str">
        <x:v>Science Fiction; Thriller</x:v>
      </x:c>
      <x:c r="I9" s="13" t="str">
        <x:v>Caroline Labreche; Steeve Leonard</x:v>
      </x:c>
      <x:c r="J9" s="13" t="str">
        <x:v>Caroline Labreche; Steeve Leonard</x:v>
      </x:c>
      <x:c r="K9" s="13" t="str">
        <x:v>EMA Films</x:v>
      </x:c>
      <x:c r="L9" s="13" t="str">
        <x:v>Not Rated</x:v>
      </x:c>
      <x:c r="M9" s="13" t="n">
        <x:v>6.3</x:v>
      </x:c>
      <x:c r="N9" s="13" t="n">
        <x:v>72</x:v>
      </x:c>
      <x:c r="O9" s="13" t="str">
        <x:v>1920x1080</x:v>
      </x:c>
      <x:c r="P9" s="13" t="str">
        <x:v>No</x:v>
      </x:c>
      <x:c r="Q9" s="13" t="str">
        <x:v>H264</x:v>
      </x:c>
      <x:c r="R9" s="13" t="str">
        <x:v>ENG / AAC / 6 ch</x:v>
      </x:c>
      <x:c r="S9" s="13" t="str">
        <x:v>ENG</x:v>
      </x:c>
      <x:c r="T9" s="13" t="n">
        <x:v>6.9</x:v>
      </x:c>
      <x:c r="U9" s="14" t="n">
        <x:v>46008</x:v>
      </x:c>
      <x:c r="V9" s="14" t="n">
        <x:v>42933</x:v>
      </x:c>
      <x:c r="W9" s="13" t="str">
        <x:v>No</x:v>
      </x:c>
      <x:c r="X9" s="13" t="str">
        <x:v>tt6097798</x:v>
      </x:c>
      <x:c r="Y9" s="13" t="str"/>
      <x:c r="Z9" s="13" t="str">
        <x:v>D:\Movies\Radius (2017).mkv</x:v>
      </x:c>
      <x:c r="AA9" s="13" t="str">
        <x:v>sample-005</x:v>
      </x:c>
      <x:c r="AB9" s="15" t="str">
        <x:v>A man wakes after an accident and discovers that proximity to him is fatal.</x:v>
      </x:c>
    </x:row>
    <x:row r="10">
      <x:c r="A10" s="13" t="str">
        <x:v>Faults</x:v>
      </x:c>
      <x:c r="B10" s="13" t="n">
        <x:v>2014</x:v>
      </x:c>
      <x:c r="C10" s="13" t="str">
        <x:v>Movies</x:v>
      </x:c>
      <x:c r="D10" s="13" t="str">
        <x:v>Unwatched</x:v>
      </x:c>
      <x:c r="E10" s="13" t="n">
        <x:v>0</x:v>
      </x:c>
      <x:c r="F10" s="14"/>
      <x:c r="G10" s="13" t="n">
        <x:v>89</x:v>
      </x:c>
      <x:c r="H10" s="13" t="str">
        <x:v>Drama; Thriller</x:v>
      </x:c>
      <x:c r="I10" s="13" t="str">
        <x:v>Riley Stearns</x:v>
      </x:c>
      <x:c r="J10" s="13" t="str">
        <x:v>Riley Stearns</x:v>
      </x:c>
      <x:c r="K10" s="13" t="str">
        <x:v>Screen Media Films</x:v>
      </x:c>
      <x:c r="L10" s="13" t="str">
        <x:v>Not Rated</x:v>
      </x:c>
      <x:c r="M10" s="13" t="n">
        <x:v>6.7</x:v>
      </x:c>
      <x:c r="N10" s="13" t="n">
        <x:v>79</x:v>
      </x:c>
      <x:c r="O10" s="13" t="str">
        <x:v>1920x1080</x:v>
      </x:c>
      <x:c r="P10" s="13" t="str">
        <x:v>No</x:v>
      </x:c>
      <x:c r="Q10" s="13" t="str">
        <x:v>H264</x:v>
      </x:c>
      <x:c r="R10" s="13" t="str">
        <x:v>ENG / AAC / 2 ch</x:v>
      </x:c>
      <x:c r="S10" s="13" t="str">
        <x:v>ENG</x:v>
      </x:c>
      <x:c r="T10" s="13" t="n">
        <x:v>5.8</x:v>
      </x:c>
      <x:c r="U10" s="14" t="n">
        <x:v>46231</x:v>
      </x:c>
      <x:c r="V10" s="14" t="n">
        <x:v>41707</x:v>
      </x:c>
      <x:c r="W10" s="13" t="str">
        <x:v>No</x:v>
      </x:c>
      <x:c r="X10" s="13" t="str">
        <x:v>tt3021360</x:v>
      </x:c>
      <x:c r="Y10" s="13" t="str"/>
      <x:c r="Z10" s="13" t="str">
        <x:v>D:\Movies\Faults (2014).mkv</x:v>
      </x:c>
      <x:c r="AA10" s="13" t="str">
        <x:v>sample-006</x:v>
      </x:c>
      <x:c r="AB10" s="15" t="str">
        <x:v>A cult expert attempts to deprogram a young woman in a motel room.</x:v>
      </x:c>
    </x:row>
    <x:row r="11">
      <x:c r="A11" s="13" t="str">
        <x:v>Elizabeth Harvest</x:v>
      </x:c>
      <x:c r="B11" s="13" t="n">
        <x:v>2018</x:v>
      </x:c>
      <x:c r="C11" s="13" t="str">
        <x:v>Movies</x:v>
      </x:c>
      <x:c r="D11" s="13" t="str">
        <x:v>Unwatched</x:v>
      </x:c>
      <x:c r="E11" s="13" t="n">
        <x:v>0</x:v>
      </x:c>
      <x:c r="F11" s="14"/>
      <x:c r="G11" s="13" t="n">
        <x:v>105</x:v>
      </x:c>
      <x:c r="H11" s="13" t="str">
        <x:v>Science Fiction; Thriller</x:v>
      </x:c>
      <x:c r="I11" s="13" t="str">
        <x:v>Sebastian Gutierrez</x:v>
      </x:c>
      <x:c r="J11" s="13" t="str">
        <x:v>Sebastian Gutierrez</x:v>
      </x:c>
      <x:c r="K11" s="13" t="str">
        <x:v>Automatik Entertainment</x:v>
      </x:c>
      <x:c r="L11" s="13" t="str">
        <x:v>R</x:v>
      </x:c>
      <x:c r="M11" s="13" t="n">
        <x:v>5.8</x:v>
      </x:c>
      <x:c r="N11" s="13" t="n">
        <x:v>63</x:v>
      </x:c>
      <x:c r="O11" s="13" t="str">
        <x:v>3840x2160</x:v>
      </x:c>
      <x:c r="P11" s="13" t="str">
        <x:v>HDR10</x:v>
      </x:c>
      <x:c r="Q11" s="13" t="str">
        <x:v>HEVC</x:v>
      </x:c>
      <x:c r="R11" s="13" t="str">
        <x:v>ENG / DTS / 6 ch</x:v>
      </x:c>
      <x:c r="S11" s="13" t="str">
        <x:v>ENG</x:v>
      </x:c>
      <x:c r="T11" s="13" t="n">
        <x:v>18.6</x:v>
      </x:c>
      <x:c r="U11" s="14" t="n">
        <x:v>46237</x:v>
      </x:c>
      <x:c r="V11" s="14" t="n">
        <x:v>43169</x:v>
      </x:c>
      <x:c r="W11" s="13" t="str">
        <x:v>No</x:v>
      </x:c>
      <x:c r="X11" s="13" t="str">
        <x:v>tt6852872</x:v>
      </x:c>
      <x:c r="Y11" s="13" t="str"/>
      <x:c r="Z11" s="13" t="str">
        <x:v>D:\Movies\Elizabeth Harvest (2018).mkv</x:v>
      </x:c>
      <x:c r="AA11" s="13" t="str">
        <x:v>sample-007</x:v>
      </x:c>
      <x:c r="AB11" s="15" t="str">
        <x:v>A newlywed enters a forbidden room in her husband's isolated estate.</x:v>
      </x:c>
    </x:row>
    <x:row r="12">
      <x:c r="A12" s="13" t="str">
        <x:v>Unknown Signal</x:v>
      </x:c>
      <x:c r="B12" s="13"/>
      <x:c r="C12" s="13" t="str">
        <x:v>Movies</x:v>
      </x:c>
      <x:c r="D12" s="13" t="str">
        <x:v>Unwatched</x:v>
      </x:c>
      <x:c r="E12" s="13" t="n">
        <x:v>0</x:v>
      </x:c>
      <x:c r="F12" s="14"/>
      <x:c r="G12" s="13"/>
      <x:c r="H12" s="13" t="str"/>
      <x:c r="I12" s="13" t="str"/>
      <x:c r="J12" s="13" t="str"/>
      <x:c r="K12" s="13" t="str"/>
      <x:c r="L12" s="13" t="str"/>
      <x:c r="M12" s="13"/>
      <x:c r="N12" s="13"/>
      <x:c r="O12" s="13" t="str">
        <x:v>1280x720</x:v>
      </x:c>
      <x:c r="P12" s="13" t="str">
        <x:v>No</x:v>
      </x:c>
      <x:c r="Q12" s="13" t="str">
        <x:v>H264</x:v>
      </x:c>
      <x:c r="R12" s="13" t="str">
        <x:v>ENG / AAC / 2 ch</x:v>
      </x:c>
      <x:c r="S12" s="13" t="str"/>
      <x:c r="T12" s="13" t="n">
        <x:v>2.1</x:v>
      </x:c>
      <x:c r="U12" s="14" t="n">
        <x:v>46242</x:v>
      </x:c>
      <x:c r="V12" s="14"/>
      <x:c r="W12" s="13" t="str">
        <x:v>No</x:v>
      </x:c>
      <x:c r="X12" s="13" t="str"/>
      <x:c r="Y12" s="13" t="str"/>
      <x:c r="Z12" s="13" t="str">
        <x:v>D:\Movies\Unknown Signal.mkv</x:v>
      </x:c>
      <x:c r="AA12" s="13" t="str">
        <x:v>sample-008</x:v>
      </x:c>
      <x:c r="AB12" s="15" t="str">
        <x:v>A deliberately incomplete sample row used to demonstrate metadata issue detection.</x:v>
      </x:c>
    </x:row>
  </x:sheetData>
  <x:mergeCells>
    <x:mergeCell ref="A1:AB1"/>
    <x:mergeCell ref="A2:AB2"/>
  </x:mergeCells>
  <x:conditionalFormatting sqref="D5:D12">
    <x:cfRule type="containsText" dxfId="0" priority="1" operator="containsText" text="Watched"/>
    <x:cfRule type="containsText" dxfId="1" priority="2" operator="containsText" text="Unwatched"/>
  </x:conditionalFormatting>
  <x:pageMargins left="0.7" right="0.7" top="0.75" bottom="0.75" header="0.3" footer="0.3"/>
  <x:tableParts count="1">
    <x:tablePart xmlns:r="http://schemas.openxmlformats.org/officeDocument/2006/relationships" r:id="R38a6791293fe4d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18" hidden="0" customWidth="1"/>
    <x:col min="4" max="4" width="15" hidden="0" customWidth="1"/>
    <x:col min="5" max="5" width="11" hidden="0" customWidth="1"/>
    <x:col min="6" max="6" width="14" hidden="0" customWidth="1"/>
    <x:col min="7" max="7" width="17" hidden="0" customWidth="1"/>
    <x:col min="8" max="8" width="28" hidden="0" customWidth="1"/>
    <x:col min="9" max="9" width="24" hidden="0" customWidth="1"/>
    <x:col min="10" max="10" width="24" hidden="0" customWidth="1"/>
    <x:col min="11" max="11" width="22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0" hidden="0" customWidth="1"/>
    <x:col min="17" max="17" width="13" hidden="0" customWidth="1"/>
    <x:col min="18" max="18" width="19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0" hidden="0" customWidth="1"/>
    <x:col min="24" max="24" width="15" hidden="0" customWidth="1"/>
    <x:col min="25" max="25" width="15" hidden="0" customWidth="1"/>
    <x:col min="26" max="26" width="48" hidden="0" customWidth="1"/>
    <x:col min="27" max="27" width="28" hidden="0" customWidth="1"/>
    <x:col min="28" max="28" width="62" hidden="0" customWidth="1"/>
  </x:cols>
  <x:sheetData>
    <x:row r="1" ht="30" customHeight="1">
      <x:c r="A1" s="3" t="str">
        <x:v>Unwatched Movies</x:v>
      </x:c>
    </x:row>
    <x:row r="2" ht="22" customHeight="1">
      <x:c r="A2" s="5" t="str">
        <x:v>5 movies waiting patiently—or judging you.</x:v>
      </x:c>
    </x:row>
    <x:row r="4" ht="28" customHeight="1">
      <x:c r="A4" s="12" t="str">
        <x:v>Title</x:v>
      </x:c>
      <x:c r="B4" s="12" t="str">
        <x:v>Year</x:v>
      </x:c>
      <x:c r="C4" s="12" t="str">
        <x:v>Library</x:v>
      </x:c>
      <x:c r="D4" s="12" t="str">
        <x:v>Watched Status</x:v>
      </x:c>
      <x:c r="E4" s="12" t="str">
        <x:v>Play Count</x:v>
      </x:c>
      <x:c r="F4" s="12" t="str">
        <x:v>Last Played</x:v>
      </x:c>
      <x:c r="G4" s="12" t="str">
        <x:v>Runtime (Minutes)</x:v>
      </x:c>
      <x:c r="H4" s="12" t="str">
        <x:v>Genres</x:v>
      </x:c>
      <x:c r="I4" s="12" t="str">
        <x:v>Directors</x:v>
      </x:c>
      <x:c r="J4" s="12" t="str">
        <x:v>Writers</x:v>
      </x:c>
      <x:c r="K4" s="12" t="str">
        <x:v>Studios</x:v>
      </x:c>
      <x:c r="L4" s="12" t="str">
        <x:v>Content Rating</x:v>
      </x:c>
      <x:c r="M4" s="12" t="str">
        <x:v>Jellyfin Rating</x:v>
      </x:c>
      <x:c r="N4" s="12" t="str">
        <x:v>Critic Rating</x:v>
      </x:c>
      <x:c r="O4" s="12" t="str">
        <x:v>Resolution</x:v>
      </x:c>
      <x:c r="P4" s="12" t="str">
        <x:v>HDR</x:v>
      </x:c>
      <x:c r="Q4" s="12" t="str">
        <x:v>Video Codec</x:v>
      </x:c>
      <x:c r="R4" s="12" t="str">
        <x:v>Audio</x:v>
      </x:c>
      <x:c r="S4" s="12" t="str">
        <x:v>Subtitle Languages</x:v>
      </x:c>
      <x:c r="T4" s="12" t="str">
        <x:v>File Size (GB)</x:v>
      </x:c>
      <x:c r="U4" s="12" t="str">
        <x:v>Date Added</x:v>
      </x:c>
      <x:c r="V4" s="12" t="str">
        <x:v>Premiere Date</x:v>
      </x:c>
      <x:c r="W4" s="12" t="str">
        <x:v>Favorite</x:v>
      </x:c>
      <x:c r="X4" s="12" t="str">
        <x:v>IMDb ID</x:v>
      </x:c>
      <x:c r="Y4" s="12" t="str">
        <x:v>TMDb ID</x:v>
      </x:c>
      <x:c r="Z4" s="12" t="str">
        <x:v>File Path</x:v>
      </x:c>
      <x:c r="AA4" s="12" t="str">
        <x:v>Jellyfin ID</x:v>
      </x:c>
      <x:c r="AB4" s="12" t="str">
        <x:v>Overview</x:v>
      </x:c>
    </x:row>
    <x:row r="5">
      <x:c r="A5" s="13" t="str">
        <x:v>TimeScape</x:v>
      </x:c>
      <x:c r="B5" s="13" t="n">
        <x:v>1992</x:v>
      </x:c>
      <x:c r="C5" s="13" t="str">
        <x:v>Movies</x:v>
      </x:c>
      <x:c r="D5" s="13" t="str">
        <x:v>Unwatched</x:v>
      </x:c>
      <x:c r="E5" s="13" t="n">
        <x:v>0</x:v>
      </x:c>
      <x:c r="F5" s="14"/>
      <x:c r="G5" s="13" t="n">
        <x:v>99</x:v>
      </x:c>
      <x:c r="H5" s="13" t="str">
        <x:v>Science Fiction; Thriller</x:v>
      </x:c>
      <x:c r="I5" s="13" t="str">
        <x:v>David Twohy</x:v>
      </x:c>
      <x:c r="J5" s="13" t="str">
        <x:v>David Twohy</x:v>
      </x:c>
      <x:c r="K5" s="13" t="str">
        <x:v>Paramount</x:v>
      </x:c>
      <x:c r="L5" s="13" t="str">
        <x:v>PG-13</x:v>
      </x:c>
      <x:c r="M5" s="13" t="n">
        <x:v>6.3</x:v>
      </x:c>
      <x:c r="N5" s="13" t="n">
        <x:v>61</x:v>
      </x:c>
      <x:c r="O5" s="13" t="str">
        <x:v>1920x1080</x:v>
      </x:c>
      <x:c r="P5" s="13" t="str">
        <x:v>No</x:v>
      </x:c>
      <x:c r="Q5" s="13" t="str">
        <x:v>H264</x:v>
      </x:c>
      <x:c r="R5" s="13" t="str">
        <x:v>ENG / AC3 / 6 ch</x:v>
      </x:c>
      <x:c r="S5" s="13" t="str">
        <x:v>ENG</x:v>
      </x:c>
      <x:c r="T5" s="13" t="n">
        <x:v>9.1</x:v>
      </x:c>
      <x:c r="U5" s="14" t="n">
        <x:v>46235</x:v>
      </x:c>
      <x:c r="V5" s="14" t="n">
        <x:v>33864</x:v>
      </x:c>
      <x:c r="W5" s="13" t="str">
        <x:v>No</x:v>
      </x:c>
      <x:c r="X5" s="13" t="str">
        <x:v>tt0104362</x:v>
      </x:c>
      <x:c r="Y5" s="13" t="str"/>
      <x:c r="Z5" s="13" t="str">
        <x:v>D:\Movies\TimeScape (1992).mkv</x:v>
      </x:c>
      <x:c r="AA5" s="13" t="str">
        <x:v>sample-002</x:v>
      </x:c>
      <x:c r="AB5" s="15" t="str">
        <x:v>A widowed innkeeper discovers that his guests are tourists from the future.</x:v>
      </x:c>
    </x:row>
    <x:row r="6">
      <x:c r="A6" s="13" t="str">
        <x:v>Looker</x:v>
      </x:c>
      <x:c r="B6" s="13" t="n">
        <x:v>1981</x:v>
      </x:c>
      <x:c r="C6" s="13" t="str">
        <x:v>Movies</x:v>
      </x:c>
      <x:c r="D6" s="13" t="str">
        <x:v>Unwatched</x:v>
      </x:c>
      <x:c r="E6" s="13" t="n">
        <x:v>0</x:v>
      </x:c>
      <x:c r="F6" s="14"/>
      <x:c r="G6" s="13" t="n">
        <x:v>94</x:v>
      </x:c>
      <x:c r="H6" s="13" t="str">
        <x:v>Science Fiction; Thriller</x:v>
      </x:c>
      <x:c r="I6" s="13" t="str">
        <x:v>Michael Crichton</x:v>
      </x:c>
      <x:c r="J6" s="13" t="str">
        <x:v>Michael Crichton</x:v>
      </x:c>
      <x:c r="K6" s="13" t="str">
        <x:v>Warner Bros.</x:v>
      </x:c>
      <x:c r="L6" s="13" t="str">
        <x:v>PG</x:v>
      </x:c>
      <x:c r="M6" s="13" t="n">
        <x:v>6.1</x:v>
      </x:c>
      <x:c r="N6" s="13" t="n">
        <x:v>50</x:v>
      </x:c>
      <x:c r="O6" s="13" t="str">
        <x:v>1920x1080</x:v>
      </x:c>
      <x:c r="P6" s="13" t="str">
        <x:v>No</x:v>
      </x:c>
      <x:c r="Q6" s="13" t="str">
        <x:v>H264</x:v>
      </x:c>
      <x:c r="R6" s="13" t="str">
        <x:v>ENG / AAC / 2 ch</x:v>
      </x:c>
      <x:c r="S6" s="13" t="str">
        <x:v>ENG</x:v>
      </x:c>
      <x:c r="T6" s="13" t="n">
        <x:v>8.5</x:v>
      </x:c>
      <x:c r="U6" s="14" t="n">
        <x:v>46184</x:v>
      </x:c>
      <x:c r="V6" s="14" t="n">
        <x:v>29889</x:v>
      </x:c>
      <x:c r="W6" s="13" t="str">
        <x:v>No</x:v>
      </x:c>
      <x:c r="X6" s="13" t="str">
        <x:v>tt0082677</x:v>
      </x:c>
      <x:c r="Y6" s="13" t="str"/>
      <x:c r="Z6" s="13" t="str">
        <x:v>D:\Movies\Looker (1981).mkv</x:v>
      </x:c>
      <x:c r="AA6" s="13" t="str">
        <x:v>sample-004</x:v>
      </x:c>
      <x:c r="AB6" s="15" t="str">
        <x:v>A surgeon investigates a series of deaths among models.</x:v>
      </x:c>
    </x:row>
    <x:row r="7">
      <x:c r="A7" s="13" t="str">
        <x:v>Faults</x:v>
      </x:c>
      <x:c r="B7" s="13" t="n">
        <x:v>2014</x:v>
      </x:c>
      <x:c r="C7" s="13" t="str">
        <x:v>Movies</x:v>
      </x:c>
      <x:c r="D7" s="13" t="str">
        <x:v>Unwatched</x:v>
      </x:c>
      <x:c r="E7" s="13" t="n">
        <x:v>0</x:v>
      </x:c>
      <x:c r="F7" s="14"/>
      <x:c r="G7" s="13" t="n">
        <x:v>89</x:v>
      </x:c>
      <x:c r="H7" s="13" t="str">
        <x:v>Drama; Thriller</x:v>
      </x:c>
      <x:c r="I7" s="13" t="str">
        <x:v>Riley Stearns</x:v>
      </x:c>
      <x:c r="J7" s="13" t="str">
        <x:v>Riley Stearns</x:v>
      </x:c>
      <x:c r="K7" s="13" t="str">
        <x:v>Screen Media Films</x:v>
      </x:c>
      <x:c r="L7" s="13" t="str">
        <x:v>Not Rated</x:v>
      </x:c>
      <x:c r="M7" s="13" t="n">
        <x:v>6.7</x:v>
      </x:c>
      <x:c r="N7" s="13" t="n">
        <x:v>79</x:v>
      </x:c>
      <x:c r="O7" s="13" t="str">
        <x:v>1920x1080</x:v>
      </x:c>
      <x:c r="P7" s="13" t="str">
        <x:v>No</x:v>
      </x:c>
      <x:c r="Q7" s="13" t="str">
        <x:v>H264</x:v>
      </x:c>
      <x:c r="R7" s="13" t="str">
        <x:v>ENG / AAC / 2 ch</x:v>
      </x:c>
      <x:c r="S7" s="13" t="str">
        <x:v>ENG</x:v>
      </x:c>
      <x:c r="T7" s="13" t="n">
        <x:v>5.8</x:v>
      </x:c>
      <x:c r="U7" s="14" t="n">
        <x:v>46231</x:v>
      </x:c>
      <x:c r="V7" s="14" t="n">
        <x:v>41707</x:v>
      </x:c>
      <x:c r="W7" s="13" t="str">
        <x:v>No</x:v>
      </x:c>
      <x:c r="X7" s="13" t="str">
        <x:v>tt3021360</x:v>
      </x:c>
      <x:c r="Y7" s="13" t="str"/>
      <x:c r="Z7" s="13" t="str">
        <x:v>D:\Movies\Faults (2014).mkv</x:v>
      </x:c>
      <x:c r="AA7" s="13" t="str">
        <x:v>sample-006</x:v>
      </x:c>
      <x:c r="AB7" s="15" t="str">
        <x:v>A cult expert attempts to deprogram a young woman in a motel room.</x:v>
      </x:c>
    </x:row>
    <x:row r="8">
      <x:c r="A8" s="13" t="str">
        <x:v>Elizabeth Harvest</x:v>
      </x:c>
      <x:c r="B8" s="13" t="n">
        <x:v>2018</x:v>
      </x:c>
      <x:c r="C8" s="13" t="str">
        <x:v>Movies</x:v>
      </x:c>
      <x:c r="D8" s="13" t="str">
        <x:v>Unwatched</x:v>
      </x:c>
      <x:c r="E8" s="13" t="n">
        <x:v>0</x:v>
      </x:c>
      <x:c r="F8" s="14"/>
      <x:c r="G8" s="13" t="n">
        <x:v>105</x:v>
      </x:c>
      <x:c r="H8" s="13" t="str">
        <x:v>Science Fiction; Thriller</x:v>
      </x:c>
      <x:c r="I8" s="13" t="str">
        <x:v>Sebastian Gutierrez</x:v>
      </x:c>
      <x:c r="J8" s="13" t="str">
        <x:v>Sebastian Gutierrez</x:v>
      </x:c>
      <x:c r="K8" s="13" t="str">
        <x:v>Automatik Entertainment</x:v>
      </x:c>
      <x:c r="L8" s="13" t="str">
        <x:v>R</x:v>
      </x:c>
      <x:c r="M8" s="13" t="n">
        <x:v>5.8</x:v>
      </x:c>
      <x:c r="N8" s="13" t="n">
        <x:v>63</x:v>
      </x:c>
      <x:c r="O8" s="13" t="str">
        <x:v>3840x2160</x:v>
      </x:c>
      <x:c r="P8" s="13" t="str">
        <x:v>HDR10</x:v>
      </x:c>
      <x:c r="Q8" s="13" t="str">
        <x:v>HEVC</x:v>
      </x:c>
      <x:c r="R8" s="13" t="str">
        <x:v>ENG / DTS / 6 ch</x:v>
      </x:c>
      <x:c r="S8" s="13" t="str">
        <x:v>ENG</x:v>
      </x:c>
      <x:c r="T8" s="13" t="n">
        <x:v>18.6</x:v>
      </x:c>
      <x:c r="U8" s="14" t="n">
        <x:v>46237</x:v>
      </x:c>
      <x:c r="V8" s="14" t="n">
        <x:v>43169</x:v>
      </x:c>
      <x:c r="W8" s="13" t="str">
        <x:v>No</x:v>
      </x:c>
      <x:c r="X8" s="13" t="str">
        <x:v>tt6852872</x:v>
      </x:c>
      <x:c r="Y8" s="13" t="str"/>
      <x:c r="Z8" s="13" t="str">
        <x:v>D:\Movies\Elizabeth Harvest (2018).mkv</x:v>
      </x:c>
      <x:c r="AA8" s="13" t="str">
        <x:v>sample-007</x:v>
      </x:c>
      <x:c r="AB8" s="15" t="str">
        <x:v>A newlywed enters a forbidden room in her husband's isolated estate.</x:v>
      </x:c>
    </x:row>
    <x:row r="9">
      <x:c r="A9" s="13" t="str">
        <x:v>Unknown Signal</x:v>
      </x:c>
      <x:c r="B9" s="13"/>
      <x:c r="C9" s="13" t="str">
        <x:v>Movies</x:v>
      </x:c>
      <x:c r="D9" s="13" t="str">
        <x:v>Unwatched</x:v>
      </x:c>
      <x:c r="E9" s="13" t="n">
        <x:v>0</x:v>
      </x:c>
      <x:c r="F9" s="14"/>
      <x:c r="G9" s="13"/>
      <x:c r="H9" s="13" t="str"/>
      <x:c r="I9" s="13" t="str"/>
      <x:c r="J9" s="13" t="str"/>
      <x:c r="K9" s="13" t="str"/>
      <x:c r="L9" s="13" t="str"/>
      <x:c r="M9" s="13"/>
      <x:c r="N9" s="13"/>
      <x:c r="O9" s="13" t="str">
        <x:v>1280x720</x:v>
      </x:c>
      <x:c r="P9" s="13" t="str">
        <x:v>No</x:v>
      </x:c>
      <x:c r="Q9" s="13" t="str">
        <x:v>H264</x:v>
      </x:c>
      <x:c r="R9" s="13" t="str">
        <x:v>ENG / AAC / 2 ch</x:v>
      </x:c>
      <x:c r="S9" s="13" t="str"/>
      <x:c r="T9" s="13" t="n">
        <x:v>2.1</x:v>
      </x:c>
      <x:c r="U9" s="14" t="n">
        <x:v>46242</x:v>
      </x:c>
      <x:c r="V9" s="14"/>
      <x:c r="W9" s="13" t="str">
        <x:v>No</x:v>
      </x:c>
      <x:c r="X9" s="13" t="str"/>
      <x:c r="Y9" s="13" t="str"/>
      <x:c r="Z9" s="13" t="str">
        <x:v>D:\Movies\Unknown Signal.mkv</x:v>
      </x:c>
      <x:c r="AA9" s="13" t="str">
        <x:v>sample-008</x:v>
      </x:c>
      <x:c r="AB9" s="15" t="str">
        <x:v>A deliberately incomplete sample row used to demonstrate metadata issue detection.</x:v>
      </x:c>
    </x:row>
  </x:sheetData>
  <x:mergeCells>
    <x:mergeCell ref="A1:AB1"/>
    <x:mergeCell ref="A2:AB2"/>
  </x:mergeCells>
  <x:conditionalFormatting sqref="D5:D9">
    <x:cfRule type="containsText" dxfId="2" priority="1" operator="containsText" text="Watched"/>
    <x:cfRule type="containsText" dxfId="3" priority="2" operator="containsText" text="Unwatched"/>
  </x:conditionalFormatting>
  <x:pageMargins left="0.7" right="0.7" top="0.75" bottom="0.75" header="0.3" footer="0.3"/>
  <x:tableParts count="1">
    <x:tablePart xmlns:r="http://schemas.openxmlformats.org/officeDocument/2006/relationships" r:id="R589a23b4b3c64d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18" hidden="0" customWidth="1"/>
    <x:col min="4" max="4" width="15" hidden="0" customWidth="1"/>
    <x:col min="5" max="5" width="11" hidden="0" customWidth="1"/>
    <x:col min="6" max="6" width="14" hidden="0" customWidth="1"/>
    <x:col min="7" max="7" width="17" hidden="0" customWidth="1"/>
    <x:col min="8" max="8" width="28" hidden="0" customWidth="1"/>
    <x:col min="9" max="9" width="24" hidden="0" customWidth="1"/>
    <x:col min="10" max="10" width="24" hidden="0" customWidth="1"/>
    <x:col min="11" max="11" width="22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0" hidden="0" customWidth="1"/>
    <x:col min="17" max="17" width="13" hidden="0" customWidth="1"/>
    <x:col min="18" max="18" width="19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0" hidden="0" customWidth="1"/>
    <x:col min="24" max="24" width="15" hidden="0" customWidth="1"/>
    <x:col min="25" max="25" width="15" hidden="0" customWidth="1"/>
    <x:col min="26" max="26" width="48" hidden="0" customWidth="1"/>
    <x:col min="27" max="27" width="28" hidden="0" customWidth="1"/>
    <x:col min="28" max="28" width="62" hidden="0" customWidth="1"/>
  </x:cols>
  <x:sheetData>
    <x:row r="1" ht="30" customHeight="1">
      <x:c r="A1" s="3" t="str">
        <x:v>Watched Movies</x:v>
      </x:c>
    </x:row>
    <x:row r="2" ht="22" customHeight="1">
      <x:c r="A2" s="5" t="str">
        <x:v>3 movies marked watched for this Jellyfin user.</x:v>
      </x:c>
    </x:row>
    <x:row r="4" ht="28" customHeight="1">
      <x:c r="A4" s="12" t="str">
        <x:v>Title</x:v>
      </x:c>
      <x:c r="B4" s="12" t="str">
        <x:v>Year</x:v>
      </x:c>
      <x:c r="C4" s="12" t="str">
        <x:v>Library</x:v>
      </x:c>
      <x:c r="D4" s="12" t="str">
        <x:v>Watched Status</x:v>
      </x:c>
      <x:c r="E4" s="12" t="str">
        <x:v>Play Count</x:v>
      </x:c>
      <x:c r="F4" s="12" t="str">
        <x:v>Last Played</x:v>
      </x:c>
      <x:c r="G4" s="12" t="str">
        <x:v>Runtime (Minutes)</x:v>
      </x:c>
      <x:c r="H4" s="12" t="str">
        <x:v>Genres</x:v>
      </x:c>
      <x:c r="I4" s="12" t="str">
        <x:v>Directors</x:v>
      </x:c>
      <x:c r="J4" s="12" t="str">
        <x:v>Writers</x:v>
      </x:c>
      <x:c r="K4" s="12" t="str">
        <x:v>Studios</x:v>
      </x:c>
      <x:c r="L4" s="12" t="str">
        <x:v>Content Rating</x:v>
      </x:c>
      <x:c r="M4" s="12" t="str">
        <x:v>Jellyfin Rating</x:v>
      </x:c>
      <x:c r="N4" s="12" t="str">
        <x:v>Critic Rating</x:v>
      </x:c>
      <x:c r="O4" s="12" t="str">
        <x:v>Resolution</x:v>
      </x:c>
      <x:c r="P4" s="12" t="str">
        <x:v>HDR</x:v>
      </x:c>
      <x:c r="Q4" s="12" t="str">
        <x:v>Video Codec</x:v>
      </x:c>
      <x:c r="R4" s="12" t="str">
        <x:v>Audio</x:v>
      </x:c>
      <x:c r="S4" s="12" t="str">
        <x:v>Subtitle Languages</x:v>
      </x:c>
      <x:c r="T4" s="12" t="str">
        <x:v>File Size (GB)</x:v>
      </x:c>
      <x:c r="U4" s="12" t="str">
        <x:v>Date Added</x:v>
      </x:c>
      <x:c r="V4" s="12" t="str">
        <x:v>Premiere Date</x:v>
      </x:c>
      <x:c r="W4" s="12" t="str">
        <x:v>Favorite</x:v>
      </x:c>
      <x:c r="X4" s="12" t="str">
        <x:v>IMDb ID</x:v>
      </x:c>
      <x:c r="Y4" s="12" t="str">
        <x:v>TMDb ID</x:v>
      </x:c>
      <x:c r="Z4" s="12" t="str">
        <x:v>File Path</x:v>
      </x:c>
      <x:c r="AA4" s="12" t="str">
        <x:v>Jellyfin ID</x:v>
      </x:c>
      <x:c r="AB4" s="12" t="str">
        <x:v>Overview</x:v>
      </x:c>
    </x:row>
    <x:row r="5">
      <x:c r="A5" s="13" t="str">
        <x:v>Brain Dead</x:v>
      </x:c>
      <x:c r="B5" s="13" t="n">
        <x:v>1990</x:v>
      </x:c>
      <x:c r="C5" s="13" t="str">
        <x:v>Movies</x:v>
      </x:c>
      <x:c r="D5" s="13" t="str">
        <x:v>Watched</x:v>
      </x:c>
      <x:c r="E5" s="13" t="n">
        <x:v>1</x:v>
      </x:c>
      <x:c r="F5" s="14" t="n">
        <x:v>46241</x:v>
      </x:c>
      <x:c r="G5" s="13" t="n">
        <x:v>85</x:v>
      </x:c>
      <x:c r="H5" s="13" t="str">
        <x:v>Horror; Science Fiction</x:v>
      </x:c>
      <x:c r="I5" s="13" t="str">
        <x:v>Adam Simon</x:v>
      </x:c>
      <x:c r="J5" s="13" t="str">
        <x:v>Charles Beaumont</x:v>
      </x:c>
      <x:c r="K5" s="13" t="str">
        <x:v>Concorde Pictures</x:v>
      </x:c>
      <x:c r="L5" s="13" t="str">
        <x:v>R</x:v>
      </x:c>
      <x:c r="M5" s="13" t="n">
        <x:v>6</x:v>
      </x:c>
      <x:c r="N5" s="13" t="n">
        <x:v>55</x:v>
      </x:c>
      <x:c r="O5" s="13" t="str">
        <x:v>1920x1080</x:v>
      </x:c>
      <x:c r="P5" s="13" t="str">
        <x:v>No</x:v>
      </x:c>
      <x:c r="Q5" s="13" t="str">
        <x:v>H264</x:v>
      </x:c>
      <x:c r="R5" s="13" t="str">
        <x:v>ENG / AAC / 2 ch</x:v>
      </x:c>
      <x:c r="S5" s="13" t="str">
        <x:v>ENG</x:v>
      </x:c>
      <x:c r="T5" s="13" t="n">
        <x:v>7.2</x:v>
      </x:c>
      <x:c r="U5" s="14" t="n">
        <x:v>46223</x:v>
      </x:c>
      <x:c r="V5" s="14" t="n">
        <x:v>32892</x:v>
      </x:c>
      <x:c r="W5" s="13" t="str">
        <x:v>No</x:v>
      </x:c>
      <x:c r="X5" s="13" t="str">
        <x:v>tt0099173</x:v>
      </x:c>
      <x:c r="Y5" s="13" t="str"/>
      <x:c r="Z5" s="13" t="str">
        <x:v>D:\Movies\Brain Dead (1990).mkv</x:v>
      </x:c>
      <x:c r="AA5" s="13" t="str">
        <x:v>sample-001</x:v>
      </x:c>
      <x:c r="AB5" s="15" t="str">
        <x:v>A scientist becomes trapped inside an experiment involving memory and reality.</x:v>
      </x:c>
    </x:row>
    <x:row r="6">
      <x:c r="A6" s="13" t="str">
        <x:v>The Endless</x:v>
      </x:c>
      <x:c r="B6" s="13" t="n">
        <x:v>2017</x:v>
      </x:c>
      <x:c r="C6" s="13" t="str">
        <x:v>Movies</x:v>
      </x:c>
      <x:c r="D6" s="13" t="str">
        <x:v>Watched</x:v>
      </x:c>
      <x:c r="E6" s="13" t="n">
        <x:v>2</x:v>
      </x:c>
      <x:c r="F6" s="14" t="n">
        <x:v>46160</x:v>
      </x:c>
      <x:c r="G6" s="13" t="n">
        <x:v>112</x:v>
      </x:c>
      <x:c r="H6" s="13" t="str">
        <x:v>Horror; Science Fiction</x:v>
      </x:c>
      <x:c r="I6" s="13" t="str">
        <x:v>Justin Benson; Aaron Moorhead</x:v>
      </x:c>
      <x:c r="J6" s="13" t="str">
        <x:v>Justin Benson</x:v>
      </x:c>
      <x:c r="K6" s="13" t="str">
        <x:v>Snowfort Pictures</x:v>
      </x:c>
      <x:c r="L6" s="13" t="str">
        <x:v>Not Rated</x:v>
      </x:c>
      <x:c r="M6" s="13" t="n">
        <x:v>6.5</x:v>
      </x:c>
      <x:c r="N6" s="13" t="n">
        <x:v>78</x:v>
      </x:c>
      <x:c r="O6" s="13" t="str">
        <x:v>3840x2160</x:v>
      </x:c>
      <x:c r="P6" s="13" t="str">
        <x:v>HDR10</x:v>
      </x:c>
      <x:c r="Q6" s="13" t="str">
        <x:v>HEVC</x:v>
      </x:c>
      <x:c r="R6" s="13" t="str">
        <x:v>ENG / DTS / 6 ch</x:v>
      </x:c>
      <x:c r="S6" s="13" t="str">
        <x:v>ENG; SPA</x:v>
      </x:c>
      <x:c r="T6" s="13" t="n">
        <x:v>21.4</x:v>
      </x:c>
      <x:c r="U6" s="14" t="n">
        <x:v>45964</x:v>
      </x:c>
      <x:c r="V6" s="14" t="n">
        <x:v>42846</x:v>
      </x:c>
      <x:c r="W6" s="13" t="str">
        <x:v>Yes</x:v>
      </x:c>
      <x:c r="X6" s="13" t="str">
        <x:v>tt3986820</x:v>
      </x:c>
      <x:c r="Y6" s="13" t="str"/>
      <x:c r="Z6" s="13" t="str">
        <x:v>D:\Movies\The Endless (2017).mkv</x:v>
      </x:c>
      <x:c r="AA6" s="13" t="str">
        <x:v>sample-003</x:v>
      </x:c>
      <x:c r="AB6" s="15" t="str">
        <x:v>Two brothers revisit the group they escaped and find reality behaving badly.</x:v>
      </x:c>
    </x:row>
    <x:row r="7">
      <x:c r="A7" s="13" t="str">
        <x:v>Radius</x:v>
      </x:c>
      <x:c r="B7" s="13" t="n">
        <x:v>2017</x:v>
      </x:c>
      <x:c r="C7" s="13" t="str">
        <x:v>Movies</x:v>
      </x:c>
      <x:c r="D7" s="13" t="str">
        <x:v>Watched</x:v>
      </x:c>
      <x:c r="E7" s="13" t="n">
        <x:v>1</x:v>
      </x:c>
      <x:c r="F7" s="14" t="n">
        <x:v>46115</x:v>
      </x:c>
      <x:c r="G7" s="13" t="n">
        <x:v>93</x:v>
      </x:c>
      <x:c r="H7" s="13" t="str">
        <x:v>Science Fiction; Thriller</x:v>
      </x:c>
      <x:c r="I7" s="13" t="str">
        <x:v>Caroline Labreche; Steeve Leonard</x:v>
      </x:c>
      <x:c r="J7" s="13" t="str">
        <x:v>Caroline Labreche; Steeve Leonard</x:v>
      </x:c>
      <x:c r="K7" s="13" t="str">
        <x:v>EMA Films</x:v>
      </x:c>
      <x:c r="L7" s="13" t="str">
        <x:v>Not Rated</x:v>
      </x:c>
      <x:c r="M7" s="13" t="n">
        <x:v>6.3</x:v>
      </x:c>
      <x:c r="N7" s="13" t="n">
        <x:v>72</x:v>
      </x:c>
      <x:c r="O7" s="13" t="str">
        <x:v>1920x1080</x:v>
      </x:c>
      <x:c r="P7" s="13" t="str">
        <x:v>No</x:v>
      </x:c>
      <x:c r="Q7" s="13" t="str">
        <x:v>H264</x:v>
      </x:c>
      <x:c r="R7" s="13" t="str">
        <x:v>ENG / AAC / 6 ch</x:v>
      </x:c>
      <x:c r="S7" s="13" t="str">
        <x:v>ENG</x:v>
      </x:c>
      <x:c r="T7" s="13" t="n">
        <x:v>6.9</x:v>
      </x:c>
      <x:c r="U7" s="14" t="n">
        <x:v>46008</x:v>
      </x:c>
      <x:c r="V7" s="14" t="n">
        <x:v>42933</x:v>
      </x:c>
      <x:c r="W7" s="13" t="str">
        <x:v>No</x:v>
      </x:c>
      <x:c r="X7" s="13" t="str">
        <x:v>tt6097798</x:v>
      </x:c>
      <x:c r="Y7" s="13" t="str"/>
      <x:c r="Z7" s="13" t="str">
        <x:v>D:\Movies\Radius (2017).mkv</x:v>
      </x:c>
      <x:c r="AA7" s="13" t="str">
        <x:v>sample-005</x:v>
      </x:c>
      <x:c r="AB7" s="15" t="str">
        <x:v>A man wakes after an accident and discovers that proximity to him is fatal.</x:v>
      </x:c>
    </x:row>
  </x:sheetData>
  <x:mergeCells>
    <x:mergeCell ref="A1:AB1"/>
    <x:mergeCell ref="A2:AB2"/>
  </x:mergeCells>
  <x:conditionalFormatting sqref="D5:D7">
    <x:cfRule type="containsText" dxfId="4" priority="1" operator="containsText" text="Watched"/>
    <x:cfRule type="containsText" dxfId="5" priority="2" operator="containsText" text="Unwatched"/>
  </x:conditionalFormatting>
  <x:pageMargins left="0.7" right="0.7" top="0.75" bottom="0.75" header="0.3" footer="0.3"/>
  <x:tableParts count="1">
    <x:tablePart xmlns:r="http://schemas.openxmlformats.org/officeDocument/2006/relationships" r:id="Rb459e807d38c42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16" hidden="0" customWidth="1"/>
    <x:col min="4" max="4" width="18" hidden="0" customWidth="1"/>
    <x:col min="5" max="5" width="70" hidden="0" customWidth="1"/>
    <x:col min="6" max="6" width="34" hidden="0" customWidth="1"/>
  </x:cols>
  <x:sheetData>
    <x:row r="1" ht="30" customHeight="1">
      <x:c r="A1" s="3" t="str">
        <x:v>Potential Duplicates</x:v>
      </x:c>
    </x:row>
    <x:row r="2" ht="22" customHeight="1">
      <x:c r="A2" s="5" t="str">
        <x:v>Same normalized title and year. Review before deleting anything.</x:v>
      </x:c>
    </x:row>
    <x:row r="4" ht="28" customHeight="1">
      <x:c r="A4" s="12" t="str">
        <x:v>Title</x:v>
      </x:c>
      <x:c r="B4" s="12" t="str">
        <x:v>Year</x:v>
      </x:c>
      <x:c r="C4" s="12" t="str">
        <x:v>Duplicate Count</x:v>
      </x:c>
      <x:c r="D4" s="12" t="str">
        <x:v>Library</x:v>
      </x:c>
      <x:c r="E4" s="12" t="str">
        <x:v>File Path</x:v>
      </x:c>
      <x:c r="F4" s="12" t="str">
        <x:v>Jellyfin ID</x:v>
      </x:c>
    </x:row>
    <x:row r="5">
      <x:c r="A5" s="13"/>
      <x:c r="B5" s="13"/>
      <x:c r="C5" s="13"/>
      <x:c r="D5" s="13"/>
      <x:c r="E5" s="13"/>
      <x:c r="F5" s="13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36" hidden="0" customWidth="1"/>
    <x:col min="4" max="4" width="18" hidden="0" customWidth="1"/>
    <x:col min="5" max="5" width="70" hidden="0" customWidth="1"/>
    <x:col min="6" max="6" width="34" hidden="0" customWidth="1"/>
  </x:cols>
  <x:sheetData>
    <x:row r="1" ht="30" customHeight="1">
      <x:c r="A1" s="3" t="str">
        <x:v>Metadata Issues</x:v>
      </x:c>
    </x:row>
    <x:row r="2" ht="22" customHeight="1">
      <x:c r="A2" s="5" t="str">
        <x:v>Missing fields worth reviewing in Jellyfin metadata.</x:v>
      </x:c>
    </x:row>
    <x:row r="4" ht="28" customHeight="1">
      <x:c r="A4" s="12" t="str">
        <x:v>Title</x:v>
      </x:c>
      <x:c r="B4" s="12" t="str">
        <x:v>Year</x:v>
      </x:c>
      <x:c r="C4" s="12" t="str">
        <x:v>Issues</x:v>
      </x:c>
      <x:c r="D4" s="12" t="str">
        <x:v>Library</x:v>
      </x:c>
      <x:c r="E4" s="12" t="str">
        <x:v>File Path</x:v>
      </x:c>
      <x:c r="F4" s="12" t="str">
        <x:v>Jellyfin ID</x:v>
      </x:c>
    </x:row>
    <x:row r="5">
      <x:c r="A5" s="13" t="str">
        <x:v>Unknown Signal</x:v>
      </x:c>
      <x:c r="B5" s="13"/>
      <x:c r="C5" s="15" t="str">
        <x:v>Missing year; Missing runtime; Missing genres; Missing IMDb/TMDb ID</x:v>
      </x:c>
      <x:c r="D5" s="13" t="str">
        <x:v>Movies</x:v>
      </x:c>
      <x:c r="E5" s="13" t="str">
        <x:v>D:\Movies\Unknown Signal.mkv</x:v>
      </x:c>
      <x:c r="F5" s="13" t="str">
        <x:v>sample-008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f667c0e0e9141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1" hidden="0" customWidth="1"/>
    <x:col min="4" max="4" width="34" hidden="0" customWidth="1"/>
    <x:col min="5" max="5" width="9" hidden="0" customWidth="1"/>
    <x:col min="6" max="6" width="17" hidden="0" customWidth="1"/>
    <x:col min="7" max="7" width="28" hidden="0" customWidth="1"/>
    <x:col min="8" max="8" width="14" hidden="0" customWidth="1"/>
    <x:col min="9" max="9" width="14" hidden="0" customWidth="1"/>
    <x:col min="10" max="10" width="45" hidden="0" customWidth="1"/>
    <x:col min="11" max="11" width="40" hidden="0" customWidth="1"/>
    <x:col min="12" max="12" width="15" hidden="0" customWidth="1"/>
    <x:col min="13" max="13" width="34" hidden="0" customWidth="1"/>
  </x:cols>
  <x:sheetData>
    <x:row r="1" ht="30" customHeight="1">
      <x:c r="A1" s="3" t="str">
        <x:v>Recommendation Queue</x:v>
      </x:c>
    </x:row>
    <x:row r="2" ht="22" customHeight="1">
      <x:c r="A2" s="5" t="str">
        <x:v>All unwatched films, ready for the recommendation phase. Score and notes are intentionally blank.</x:v>
      </x:c>
    </x:row>
    <x:row r="4" ht="28" customHeight="1">
      <x:c r="A4" s="12" t="str">
        <x:v>Queue Rank</x:v>
      </x:c>
      <x:c r="B4" s="12" t="str">
        <x:v>Priority</x:v>
      </x:c>
      <x:c r="C4" s="12" t="str">
        <x:v>Recommendation Score</x:v>
      </x:c>
      <x:c r="D4" s="12" t="str">
        <x:v>Title</x:v>
      </x:c>
      <x:c r="E4" s="12" t="str">
        <x:v>Year</x:v>
      </x:c>
      <x:c r="F4" s="12" t="str">
        <x:v>Runtime (Minutes)</x:v>
      </x:c>
      <x:c r="G4" s="12" t="str">
        <x:v>Genres</x:v>
      </x:c>
      <x:c r="H4" s="12" t="str">
        <x:v>Jellyfin Rating</x:v>
      </x:c>
      <x:c r="I4" s="12" t="str">
        <x:v>Date Added</x:v>
      </x:c>
      <x:c r="J4" s="12" t="str">
        <x:v>Why It Fits</x:v>
      </x:c>
      <x:c r="K4" s="12" t="str">
        <x:v>Likely Caveat</x:v>
      </x:c>
      <x:c r="L4" s="12" t="str">
        <x:v>Watched Status</x:v>
      </x:c>
      <x:c r="M4" s="12" t="str">
        <x:v>Jellyfin ID</x:v>
      </x:c>
    </x:row>
    <x:row r="5">
      <x:c r="A5" s="13"/>
      <x:c r="B5" s="13" t="str"/>
      <x:c r="C5" s="13"/>
      <x:c r="D5" s="13" t="str">
        <x:v>TimeScape</x:v>
      </x:c>
      <x:c r="E5" s="13" t="n">
        <x:v>1992</x:v>
      </x:c>
      <x:c r="F5" s="13" t="n">
        <x:v>99</x:v>
      </x:c>
      <x:c r="G5" s="13" t="str">
        <x:v>Science Fiction; Thriller</x:v>
      </x:c>
      <x:c r="H5" s="13" t="n">
        <x:v>6.3</x:v>
      </x:c>
      <x:c r="I5" s="14" t="n">
        <x:v>46235</x:v>
      </x:c>
      <x:c r="J5" s="15" t="str"/>
      <x:c r="K5" s="15" t="str"/>
      <x:c r="L5" s="13" t="str">
        <x:v>Unwatched</x:v>
      </x:c>
      <x:c r="M5" s="13" t="str">
        <x:v>sample-002</x:v>
      </x:c>
    </x:row>
    <x:row r="6">
      <x:c r="A6" s="13"/>
      <x:c r="B6" s="13" t="str"/>
      <x:c r="C6" s="13"/>
      <x:c r="D6" s="13" t="str">
        <x:v>Looker</x:v>
      </x:c>
      <x:c r="E6" s="13" t="n">
        <x:v>1981</x:v>
      </x:c>
      <x:c r="F6" s="13" t="n">
        <x:v>94</x:v>
      </x:c>
      <x:c r="G6" s="13" t="str">
        <x:v>Science Fiction; Thriller</x:v>
      </x:c>
      <x:c r="H6" s="13" t="n">
        <x:v>6.1</x:v>
      </x:c>
      <x:c r="I6" s="14" t="n">
        <x:v>46184</x:v>
      </x:c>
      <x:c r="J6" s="15" t="str"/>
      <x:c r="K6" s="15" t="str"/>
      <x:c r="L6" s="13" t="str">
        <x:v>Unwatched</x:v>
      </x:c>
      <x:c r="M6" s="13" t="str">
        <x:v>sample-004</x:v>
      </x:c>
    </x:row>
    <x:row r="7">
      <x:c r="A7" s="13"/>
      <x:c r="B7" s="13" t="str"/>
      <x:c r="C7" s="13"/>
      <x:c r="D7" s="13" t="str">
        <x:v>Faults</x:v>
      </x:c>
      <x:c r="E7" s="13" t="n">
        <x:v>2014</x:v>
      </x:c>
      <x:c r="F7" s="13" t="n">
        <x:v>89</x:v>
      </x:c>
      <x:c r="G7" s="13" t="str">
        <x:v>Drama; Thriller</x:v>
      </x:c>
      <x:c r="H7" s="13" t="n">
        <x:v>6.7</x:v>
      </x:c>
      <x:c r="I7" s="14" t="n">
        <x:v>46231</x:v>
      </x:c>
      <x:c r="J7" s="15" t="str"/>
      <x:c r="K7" s="15" t="str"/>
      <x:c r="L7" s="13" t="str">
        <x:v>Unwatched</x:v>
      </x:c>
      <x:c r="M7" s="13" t="str">
        <x:v>sample-006</x:v>
      </x:c>
    </x:row>
    <x:row r="8">
      <x:c r="A8" s="13"/>
      <x:c r="B8" s="13" t="str"/>
      <x:c r="C8" s="13"/>
      <x:c r="D8" s="13" t="str">
        <x:v>Elizabeth Harvest</x:v>
      </x:c>
      <x:c r="E8" s="13" t="n">
        <x:v>2018</x:v>
      </x:c>
      <x:c r="F8" s="13" t="n">
        <x:v>105</x:v>
      </x:c>
      <x:c r="G8" s="13" t="str">
        <x:v>Science Fiction; Thriller</x:v>
      </x:c>
      <x:c r="H8" s="13" t="n">
        <x:v>5.8</x:v>
      </x:c>
      <x:c r="I8" s="14" t="n">
        <x:v>46237</x:v>
      </x:c>
      <x:c r="J8" s="15" t="str"/>
      <x:c r="K8" s="15" t="str"/>
      <x:c r="L8" s="13" t="str">
        <x:v>Unwatched</x:v>
      </x:c>
      <x:c r="M8" s="13" t="str">
        <x:v>sample-007</x:v>
      </x:c>
    </x:row>
    <x:row r="9">
      <x:c r="A9" s="13"/>
      <x:c r="B9" s="13" t="str"/>
      <x:c r="C9" s="13"/>
      <x:c r="D9" s="13" t="str">
        <x:v>Unknown Signal</x:v>
      </x:c>
      <x:c r="E9" s="13"/>
      <x:c r="F9" s="13"/>
      <x:c r="G9" s="13" t="str"/>
      <x:c r="H9" s="13"/>
      <x:c r="I9" s="14" t="n">
        <x:v>46242</x:v>
      </x:c>
      <x:c r="J9" s="15" t="str"/>
      <x:c r="K9" s="15" t="str"/>
      <x:c r="L9" s="13" t="str">
        <x:v>Unwatched</x:v>
      </x:c>
      <x:c r="M9" s="13" t="str">
        <x:v>sample-008</x:v>
      </x:c>
    </x:row>
  </x:sheetData>
  <x:mergeCells>
    <x:mergeCell ref="A1:M1"/>
    <x:mergeCell ref="A2:M2"/>
  </x:mergeCells>
  <x:conditionalFormatting sqref="L5:L9">
    <x:cfRule type="containsText" dxfId="6" priority="1" operator="containsText" text="Watched"/>
    <x:cfRule type="containsText" dxfId="7" priority="2" operator="containsText" text="Unwatched"/>
  </x:conditionalFormatting>
  <x:pageMargins left="0.7" right="0.7" top="0.75" bottom="0.75" header="0.3" footer="0.3"/>
  <x:tableParts count="1">
    <x:tablePart xmlns:r="http://schemas.openxmlformats.org/officeDocument/2006/relationships" r:id="Rbb5882ee4c1e4b4d"/>
  </x:tableParts>
</x:worksheet>
</file>